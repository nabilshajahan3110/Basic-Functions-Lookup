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892dc484d4428be5/Desktop/"/>
    </mc:Choice>
  </mc:AlternateContent>
  <xr:revisionPtr revIDLastSave="3" documentId="11_F25DC773A252ABDACC10483B115848605ADE58ED" xr6:coauthVersionLast="47" xr6:coauthVersionMax="47" xr10:uidLastSave="{1DD1BF93-14BF-48D5-BFD4-DE6827173F68}"/>
  <bookViews>
    <workbookView xWindow="-108" yWindow="-108" windowWidth="23256" windowHeight="12456" xr2:uid="{00000000-000D-0000-FFFF-FFFF00000000}"/>
  </bookViews>
  <sheets>
    <sheet name=" Basic Functions" sheetId="2" r:id="rId1"/>
    <sheet name="VLOOKUP &amp; HLOOKUP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3" l="1"/>
  <c r="I20" i="3"/>
  <c r="I19" i="3"/>
  <c r="I10" i="3"/>
  <c r="I9" i="3"/>
  <c r="I8" i="3"/>
  <c r="I18" i="3"/>
  <c r="I17" i="3"/>
  <c r="I16" i="3"/>
  <c r="I15" i="3"/>
  <c r="I14" i="3"/>
  <c r="I7" i="3"/>
  <c r="I6" i="3"/>
  <c r="I5" i="3"/>
  <c r="I4" i="3"/>
  <c r="I3" i="3"/>
  <c r="M18" i="2"/>
  <c r="M17" i="2"/>
  <c r="M16" i="2"/>
  <c r="M12" i="2"/>
  <c r="M9" i="2"/>
  <c r="M5" i="2"/>
  <c r="J19" i="2"/>
  <c r="J18" i="2"/>
  <c r="J17" i="2"/>
  <c r="J16" i="2"/>
  <c r="J13" i="2"/>
  <c r="J10" i="2"/>
  <c r="J9" i="2"/>
  <c r="J4" i="2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M4" i="2" l="1"/>
  <c r="M8" i="2"/>
  <c r="J8" i="2"/>
  <c r="M13" i="2"/>
  <c r="J5" i="2"/>
</calcChain>
</file>

<file path=xl/sharedStrings.xml><?xml version="1.0" encoding="utf-8"?>
<sst xmlns="http://schemas.openxmlformats.org/spreadsheetml/2006/main" count="257" uniqueCount="103">
  <si>
    <t>Desk</t>
  </si>
  <si>
    <t>Product ID</t>
  </si>
  <si>
    <t>Product Name</t>
  </si>
  <si>
    <t>Category</t>
  </si>
  <si>
    <t>Units Sold</t>
  </si>
  <si>
    <t>Laptop</t>
  </si>
  <si>
    <t>Electronics</t>
  </si>
  <si>
    <t>Smartphone</t>
  </si>
  <si>
    <t>Office Chair</t>
  </si>
  <si>
    <t>Furniture</t>
  </si>
  <si>
    <t>Mouse</t>
  </si>
  <si>
    <t>Accessories</t>
  </si>
  <si>
    <t>Keyboard</t>
  </si>
  <si>
    <t>Monitor</t>
  </si>
  <si>
    <t>Tablet</t>
  </si>
  <si>
    <t>Printer</t>
  </si>
  <si>
    <t>External Hard Drive</t>
  </si>
  <si>
    <t>USB Cable</t>
  </si>
  <si>
    <t>Power Bank</t>
  </si>
  <si>
    <t>Desk Lamp</t>
  </si>
  <si>
    <t>Headphones</t>
  </si>
  <si>
    <t>Speakers</t>
  </si>
  <si>
    <t>Router</t>
  </si>
  <si>
    <t>Web Camera</t>
  </si>
  <si>
    <t>Phone Case</t>
  </si>
  <si>
    <t>Backpack</t>
  </si>
  <si>
    <t>Smartwatch</t>
  </si>
  <si>
    <t>Bookshelf</t>
  </si>
  <si>
    <t>Sofa</t>
  </si>
  <si>
    <t>TV Stand</t>
  </si>
  <si>
    <t>Coffee Table</t>
  </si>
  <si>
    <t>Rug</t>
  </si>
  <si>
    <t>Dining Table</t>
  </si>
  <si>
    <t>Wardrobe</t>
  </si>
  <si>
    <t>Air Conditioner</t>
  </si>
  <si>
    <t>Vacuum Cleaner</t>
  </si>
  <si>
    <t>Blender</t>
  </si>
  <si>
    <t>Microwave</t>
  </si>
  <si>
    <t>Toaster</t>
  </si>
  <si>
    <t>Fan</t>
  </si>
  <si>
    <t>Iron</t>
  </si>
  <si>
    <t>Kettle</t>
  </si>
  <si>
    <t>Refrigerator</t>
  </si>
  <si>
    <t>Washing Machine</t>
  </si>
  <si>
    <t>Dish Washer</t>
  </si>
  <si>
    <t>Water Purifier</t>
  </si>
  <si>
    <t>Heater</t>
  </si>
  <si>
    <t>Drone</t>
  </si>
  <si>
    <t>Camera</t>
  </si>
  <si>
    <t>Gaming Console</t>
  </si>
  <si>
    <t>Smart Speaker</t>
  </si>
  <si>
    <t>Fitness Tracker</t>
  </si>
  <si>
    <t>Electric Scooter</t>
  </si>
  <si>
    <t>Hair Dryer</t>
  </si>
  <si>
    <t>Air Purifier</t>
  </si>
  <si>
    <t>Smart Light</t>
  </si>
  <si>
    <t>Portable Projector</t>
  </si>
  <si>
    <t>Unit Price</t>
  </si>
  <si>
    <t>Total Price</t>
  </si>
  <si>
    <t>SUM</t>
  </si>
  <si>
    <t>Total Units Sold</t>
  </si>
  <si>
    <t>AVERAGE</t>
  </si>
  <si>
    <t>Average Total Price</t>
  </si>
  <si>
    <t>Average Units Sold</t>
  </si>
  <si>
    <t>Average Unit Price</t>
  </si>
  <si>
    <t>COUNT</t>
  </si>
  <si>
    <t>MAX &amp; MIN</t>
  </si>
  <si>
    <t>Maximum Unit Price</t>
  </si>
  <si>
    <t>Minimum Unit Price</t>
  </si>
  <si>
    <t>Maximum Units Sold</t>
  </si>
  <si>
    <t>Minimum Units Sold</t>
  </si>
  <si>
    <t>SUMIF</t>
  </si>
  <si>
    <t>Total Price for Accessories</t>
  </si>
  <si>
    <t>Total Units Sold for Electronics</t>
  </si>
  <si>
    <t>AVERAGEIF</t>
  </si>
  <si>
    <t>Average Total Price for Furniture</t>
  </si>
  <si>
    <t>Average Units Sold for Electronics</t>
  </si>
  <si>
    <t>COUNTIF</t>
  </si>
  <si>
    <t>Count of Product name with Units Sold &gt; 40</t>
  </si>
  <si>
    <t>Find the Price of Product ID 110</t>
  </si>
  <si>
    <t>VLOOKUP</t>
  </si>
  <si>
    <t>Find the Units Sold for the "Smartwatch" product</t>
  </si>
  <si>
    <t>Retrieve the Product Name of the item with Product ID 134</t>
  </si>
  <si>
    <t>Find the Category of Product ID 145</t>
  </si>
  <si>
    <t>Look up the Price for "Electric Scooter"</t>
  </si>
  <si>
    <t>Check if Product ID 130 exists in the dataset</t>
  </si>
  <si>
    <t>HLOOKUP</t>
  </si>
  <si>
    <t>Find the Units Sold in the 10th row</t>
  </si>
  <si>
    <t>Retrieve the Price in the 20th row</t>
  </si>
  <si>
    <t>Find the Product Name in the 30th row</t>
  </si>
  <si>
    <t>Get the Category in the 35th row</t>
  </si>
  <si>
    <t>Find the Product ID of the item in the 15th row</t>
  </si>
  <si>
    <t>Find the Product Name in the row that has the highest Units Sold</t>
  </si>
  <si>
    <t>Return the Price of the Product with the 3rd Highest Units Sold</t>
  </si>
  <si>
    <t>Check if a Product with Price Less than 30 Exists and Return Its Product Name</t>
  </si>
  <si>
    <t>Count of ID</t>
  </si>
  <si>
    <t>Count of Furniture with Total Price &gt; 4000</t>
  </si>
  <si>
    <t>MAXIFS &amp; MINIFS</t>
  </si>
  <si>
    <t>Maximum Price in Electronics</t>
  </si>
  <si>
    <t>Minimum Price for Units Sold &gt; 50</t>
  </si>
  <si>
    <t>Maximum Units Sold for Price &lt; 100 in Electronics</t>
  </si>
  <si>
    <t>Find the Category of the product with the lowest Unit Price</t>
  </si>
  <si>
    <t>Find the value of the highest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</si>
</sst>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16"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E9BBD1-459F-46D1-977C-5572D44FA059}" name="Table2" displayName="Table2" ref="A1:F51" totalsRowShown="0" headerRowDxfId="9" dataDxfId="10">
  <autoFilter ref="A1:F51" xr:uid="{6AE9BBD1-459F-46D1-977C-5572D44FA059}"/>
  <tableColumns count="6">
    <tableColumn id="1" xr3:uid="{2F8F3F6B-6498-42E8-AE18-58B50E08404B}" name="Product ID" dataDxfId="15"/>
    <tableColumn id="2" xr3:uid="{9DBFA47E-4EEF-4220-8186-C149909DDD11}" name="Product Name" dataDxfId="14"/>
    <tableColumn id="3" xr3:uid="{E1D70188-1AED-4FFC-9BFA-3577C5ADA600}" name="Category" dataDxfId="13"/>
    <tableColumn id="4" xr3:uid="{482E4AEF-0348-44A1-90B7-F28F07F01E2A}" name="Unit Price" dataDxfId="12"/>
    <tableColumn id="5" xr3:uid="{BF7CE282-DE77-4ED8-A988-56B272F28714}" name="Units Sold" dataDxfId="11"/>
    <tableColumn id="6" xr3:uid="{5D86FBDA-5AA2-40FE-ADB4-75CAA6AF5AEB}" name="Total Price" dataDxfId="8">
      <calculatedColumnFormula>(Table2[[#This Row],[Unit Price]]*Table2[[#This Row],[Units Sold]])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9B3E92-1A3A-49A3-9C1C-A1068F1FE136}" name="Table24" displayName="Table24" ref="A1:F51" totalsRowShown="0" headerRowDxfId="7" dataDxfId="6">
  <autoFilter ref="A1:F51" xr:uid="{369B3E92-1A3A-49A3-9C1C-A1068F1FE136}"/>
  <tableColumns count="6">
    <tableColumn id="1" xr3:uid="{C2DE3FBE-DF98-4A7A-A9E4-A55456576941}" name="Product ID" dataDxfId="5"/>
    <tableColumn id="2" xr3:uid="{E734541A-ACBF-4E93-A4DC-000C8B4ABB81}" name="Product Name" dataDxfId="4"/>
    <tableColumn id="3" xr3:uid="{B8405F85-6727-4540-ACF8-44567F5D14DF}" name="Category" dataDxfId="3"/>
    <tableColumn id="4" xr3:uid="{7592E463-F071-4200-80E8-9C304FC2CD6C}" name="Unit Price" dataDxfId="2"/>
    <tableColumn id="5" xr3:uid="{711F507E-C26E-4B04-9605-1BCAEECFCE8B}" name="Units Sold" dataDxfId="1"/>
    <tableColumn id="6" xr3:uid="{3C5D9AE2-1A2D-4735-88D0-D50DF4EE4073}" name="Total Price" dataDxfId="0">
      <calculatedColumnFormula>(Table24[[#This Row],[Unit Price]]*Table24[[#This Row],[Units Sold]])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CD1F-C9B7-4E60-9EDC-45F8E35C8B7A}">
  <dimension ref="A1:M51"/>
  <sheetViews>
    <sheetView tabSelected="1" workbookViewId="0">
      <selection activeCell="I22" sqref="I22"/>
    </sheetView>
  </sheetViews>
  <sheetFormatPr defaultRowHeight="14.4" x14ac:dyDescent="0.3"/>
  <cols>
    <col min="1" max="1" width="11.77734375" customWidth="1"/>
    <col min="2" max="2" width="16.77734375" bestFit="1" customWidth="1"/>
    <col min="3" max="3" width="12" customWidth="1"/>
    <col min="4" max="4" width="11" customWidth="1"/>
    <col min="5" max="5" width="11.33203125" customWidth="1"/>
    <col min="6" max="6" width="11.6640625" customWidth="1"/>
    <col min="9" max="9" width="17.88671875" bestFit="1" customWidth="1"/>
    <col min="10" max="10" width="7" bestFit="1" customWidth="1"/>
    <col min="12" max="12" width="42" bestFit="1" customWidth="1"/>
    <col min="13" max="13" width="6" bestFit="1" customWidth="1"/>
  </cols>
  <sheetData>
    <row r="1" spans="1:13" x14ac:dyDescent="0.3">
      <c r="A1" s="2" t="s">
        <v>1</v>
      </c>
      <c r="B1" s="2" t="s">
        <v>2</v>
      </c>
      <c r="C1" s="2" t="s">
        <v>3</v>
      </c>
      <c r="D1" s="2" t="s">
        <v>57</v>
      </c>
      <c r="E1" s="2" t="s">
        <v>4</v>
      </c>
      <c r="F1" s="2" t="s">
        <v>58</v>
      </c>
    </row>
    <row r="2" spans="1:13" x14ac:dyDescent="0.3">
      <c r="A2" s="1">
        <v>101</v>
      </c>
      <c r="B2" s="1" t="s">
        <v>5</v>
      </c>
      <c r="C2" s="1" t="s">
        <v>6</v>
      </c>
      <c r="D2" s="1">
        <v>700</v>
      </c>
      <c r="E2" s="1">
        <v>25</v>
      </c>
      <c r="F2">
        <f>(Table2[[#This Row],[Unit Price]]*Table2[[#This Row],[Units Sold]])</f>
        <v>17500</v>
      </c>
    </row>
    <row r="3" spans="1:13" x14ac:dyDescent="0.3">
      <c r="A3" s="1">
        <v>102</v>
      </c>
      <c r="B3" s="1" t="s">
        <v>7</v>
      </c>
      <c r="C3" s="1" t="s">
        <v>6</v>
      </c>
      <c r="D3" s="1">
        <v>500</v>
      </c>
      <c r="E3" s="1">
        <v>30</v>
      </c>
      <c r="F3">
        <f>(Table2[[#This Row],[Unit Price]]*Table2[[#This Row],[Units Sold]])</f>
        <v>15000</v>
      </c>
      <c r="I3" s="5" t="s">
        <v>59</v>
      </c>
      <c r="J3" s="3"/>
      <c r="K3" s="3"/>
      <c r="L3" s="5" t="s">
        <v>71</v>
      </c>
      <c r="M3" s="3"/>
    </row>
    <row r="4" spans="1:13" x14ac:dyDescent="0.3">
      <c r="A4" s="1">
        <v>103</v>
      </c>
      <c r="B4" s="1" t="s">
        <v>8</v>
      </c>
      <c r="C4" s="1" t="s">
        <v>9</v>
      </c>
      <c r="D4" s="1">
        <v>100</v>
      </c>
      <c r="E4" s="1">
        <v>45</v>
      </c>
      <c r="F4">
        <f>(Table2[[#This Row],[Unit Price]]*Table2[[#This Row],[Units Sold]])</f>
        <v>4500</v>
      </c>
      <c r="I4" s="3" t="s">
        <v>60</v>
      </c>
      <c r="J4" s="3">
        <f>SUM(Table2[Units Sold])</f>
        <v>1882</v>
      </c>
      <c r="K4" s="3"/>
      <c r="L4" s="3" t="s">
        <v>72</v>
      </c>
      <c r="M4" s="3">
        <f>SUMIF(Table2[Category],"Accessories",Table2[Total Price])</f>
        <v>24200</v>
      </c>
    </row>
    <row r="5" spans="1:13" x14ac:dyDescent="0.3">
      <c r="A5" s="1">
        <v>104</v>
      </c>
      <c r="B5" s="1" t="s">
        <v>0</v>
      </c>
      <c r="C5" s="1" t="s">
        <v>9</v>
      </c>
      <c r="D5" s="1">
        <v>150</v>
      </c>
      <c r="E5" s="1">
        <v>20</v>
      </c>
      <c r="F5">
        <f>(Table2[[#This Row],[Unit Price]]*Table2[[#This Row],[Units Sold]])</f>
        <v>3000</v>
      </c>
      <c r="I5" s="3" t="s">
        <v>58</v>
      </c>
      <c r="J5" s="3">
        <f>SUM(Table2[Total Price])</f>
        <v>189595</v>
      </c>
      <c r="K5" s="3"/>
      <c r="L5" s="3" t="s">
        <v>73</v>
      </c>
      <c r="M5" s="3">
        <f>SUMIF(Table2[Category],"Electronics",Table2[Units Sold])</f>
        <v>795</v>
      </c>
    </row>
    <row r="6" spans="1:13" x14ac:dyDescent="0.3">
      <c r="A6" s="1">
        <v>105</v>
      </c>
      <c r="B6" s="1" t="s">
        <v>10</v>
      </c>
      <c r="C6" s="1" t="s">
        <v>11</v>
      </c>
      <c r="D6" s="1">
        <v>20</v>
      </c>
      <c r="E6" s="1">
        <v>100</v>
      </c>
      <c r="F6">
        <f>(Table2[[#This Row],[Unit Price]]*Table2[[#This Row],[Units Sold]])</f>
        <v>2000</v>
      </c>
      <c r="I6" s="3"/>
      <c r="J6" s="3"/>
      <c r="K6" s="3"/>
      <c r="L6" s="3"/>
      <c r="M6" s="3"/>
    </row>
    <row r="7" spans="1:13" x14ac:dyDescent="0.3">
      <c r="A7" s="1">
        <v>106</v>
      </c>
      <c r="B7" s="1" t="s">
        <v>12</v>
      </c>
      <c r="C7" s="1" t="s">
        <v>11</v>
      </c>
      <c r="D7" s="1">
        <v>25</v>
      </c>
      <c r="E7" s="1">
        <v>80</v>
      </c>
      <c r="F7">
        <f>(Table2[[#This Row],[Unit Price]]*Table2[[#This Row],[Units Sold]])</f>
        <v>2000</v>
      </c>
      <c r="I7" s="5" t="s">
        <v>61</v>
      </c>
      <c r="J7" s="3"/>
      <c r="K7" s="3"/>
      <c r="L7" s="5" t="s">
        <v>74</v>
      </c>
      <c r="M7" s="3"/>
    </row>
    <row r="8" spans="1:13" x14ac:dyDescent="0.3">
      <c r="A8" s="1">
        <v>107</v>
      </c>
      <c r="B8" s="1" t="s">
        <v>13</v>
      </c>
      <c r="C8" s="1" t="s">
        <v>6</v>
      </c>
      <c r="D8" s="1">
        <v>250</v>
      </c>
      <c r="E8" s="1">
        <v>15</v>
      </c>
      <c r="F8">
        <f>(Table2[[#This Row],[Unit Price]]*Table2[[#This Row],[Units Sold]])</f>
        <v>3750</v>
      </c>
      <c r="I8" s="3" t="s">
        <v>62</v>
      </c>
      <c r="J8" s="3">
        <f>AVERAGE(Table2[Total Price])</f>
        <v>3791.9</v>
      </c>
      <c r="K8" s="3"/>
      <c r="L8" s="3" t="s">
        <v>75</v>
      </c>
      <c r="M8" s="3">
        <f>AVERAGEIF(Table2[Category],"Furniture",Table2[Total Price])</f>
        <v>2309</v>
      </c>
    </row>
    <row r="9" spans="1:13" x14ac:dyDescent="0.3">
      <c r="A9" s="1">
        <v>108</v>
      </c>
      <c r="B9" s="1" t="s">
        <v>14</v>
      </c>
      <c r="C9" s="1" t="s">
        <v>6</v>
      </c>
      <c r="D9" s="1">
        <v>300</v>
      </c>
      <c r="E9" s="1">
        <v>22</v>
      </c>
      <c r="F9">
        <f>(Table2[[#This Row],[Unit Price]]*Table2[[#This Row],[Units Sold]])</f>
        <v>6600</v>
      </c>
      <c r="I9" s="3" t="s">
        <v>63</v>
      </c>
      <c r="J9" s="3">
        <f>AVERAGE(Table2[Unit Price])</f>
        <v>218.2</v>
      </c>
      <c r="K9" s="3"/>
      <c r="L9" s="3" t="s">
        <v>76</v>
      </c>
      <c r="M9" s="4">
        <f>AVERAGEIF(Table2[Category],"Electronics",Table2[Units Sold])</f>
        <v>24.09090909090909</v>
      </c>
    </row>
    <row r="10" spans="1:13" x14ac:dyDescent="0.3">
      <c r="A10" s="1">
        <v>109</v>
      </c>
      <c r="B10" s="1" t="s">
        <v>15</v>
      </c>
      <c r="C10" s="1" t="s">
        <v>6</v>
      </c>
      <c r="D10" s="1">
        <v>180</v>
      </c>
      <c r="E10" s="1">
        <v>10</v>
      </c>
      <c r="F10">
        <f>(Table2[[#This Row],[Unit Price]]*Table2[[#This Row],[Units Sold]])</f>
        <v>1800</v>
      </c>
      <c r="I10" s="3" t="s">
        <v>64</v>
      </c>
      <c r="J10" s="3">
        <f>AVERAGE(Table2[Unit Price])</f>
        <v>218.2</v>
      </c>
      <c r="K10" s="3"/>
      <c r="L10" s="3"/>
      <c r="M10" s="3"/>
    </row>
    <row r="11" spans="1:13" x14ac:dyDescent="0.3">
      <c r="A11" s="1">
        <v>110</v>
      </c>
      <c r="B11" s="1" t="s">
        <v>16</v>
      </c>
      <c r="C11" s="1" t="s">
        <v>6</v>
      </c>
      <c r="D11" s="1">
        <v>120</v>
      </c>
      <c r="E11" s="1">
        <v>40</v>
      </c>
      <c r="F11">
        <f>(Table2[[#This Row],[Unit Price]]*Table2[[#This Row],[Units Sold]])</f>
        <v>4800</v>
      </c>
      <c r="I11" s="3"/>
      <c r="J11" s="3"/>
      <c r="K11" s="3"/>
      <c r="L11" s="5" t="s">
        <v>77</v>
      </c>
      <c r="M11" s="3"/>
    </row>
    <row r="12" spans="1:13" x14ac:dyDescent="0.3">
      <c r="A12" s="1">
        <v>111</v>
      </c>
      <c r="B12" s="1" t="s">
        <v>17</v>
      </c>
      <c r="C12" s="1" t="s">
        <v>11</v>
      </c>
      <c r="D12" s="1">
        <v>10</v>
      </c>
      <c r="E12" s="1">
        <v>200</v>
      </c>
      <c r="F12">
        <f>(Table2[[#This Row],[Unit Price]]*Table2[[#This Row],[Units Sold]])</f>
        <v>2000</v>
      </c>
      <c r="I12" s="5" t="s">
        <v>65</v>
      </c>
      <c r="J12" s="3"/>
      <c r="K12" s="3"/>
      <c r="L12" s="3" t="s">
        <v>78</v>
      </c>
      <c r="M12" s="3">
        <f>COUNTIF(Table2[Units Sold],"&gt;40")</f>
        <v>12</v>
      </c>
    </row>
    <row r="13" spans="1:13" x14ac:dyDescent="0.3">
      <c r="A13" s="1">
        <v>112</v>
      </c>
      <c r="B13" s="1" t="s">
        <v>18</v>
      </c>
      <c r="C13" s="1" t="s">
        <v>6</v>
      </c>
      <c r="D13" s="1">
        <v>35</v>
      </c>
      <c r="E13" s="1">
        <v>75</v>
      </c>
      <c r="F13">
        <f>(Table2[[#This Row],[Unit Price]]*Table2[[#This Row],[Units Sold]])</f>
        <v>2625</v>
      </c>
      <c r="I13" s="3" t="s">
        <v>95</v>
      </c>
      <c r="J13" s="3">
        <f>COUNTA(A2:A50)</f>
        <v>49</v>
      </c>
      <c r="K13" s="3"/>
      <c r="L13" s="3" t="s">
        <v>96</v>
      </c>
      <c r="M13" s="3">
        <f>COUNTIF(Table2[Total Price],"&gt;4000")</f>
        <v>17</v>
      </c>
    </row>
    <row r="14" spans="1:13" x14ac:dyDescent="0.3">
      <c r="A14" s="1">
        <v>113</v>
      </c>
      <c r="B14" s="1" t="s">
        <v>19</v>
      </c>
      <c r="C14" s="1" t="s">
        <v>9</v>
      </c>
      <c r="D14" s="1">
        <v>45</v>
      </c>
      <c r="E14" s="1">
        <v>60</v>
      </c>
      <c r="F14">
        <f>(Table2[[#This Row],[Unit Price]]*Table2[[#This Row],[Units Sold]])</f>
        <v>2700</v>
      </c>
      <c r="I14" s="3"/>
      <c r="J14" s="3"/>
      <c r="K14" s="3"/>
      <c r="L14" s="3"/>
      <c r="M14" s="3"/>
    </row>
    <row r="15" spans="1:13" x14ac:dyDescent="0.3">
      <c r="A15" s="1">
        <v>114</v>
      </c>
      <c r="B15" s="1" t="s">
        <v>20</v>
      </c>
      <c r="C15" s="1" t="s">
        <v>11</v>
      </c>
      <c r="D15" s="1">
        <v>80</v>
      </c>
      <c r="E15" s="1">
        <v>55</v>
      </c>
      <c r="F15">
        <f>(Table2[[#This Row],[Unit Price]]*Table2[[#This Row],[Units Sold]])</f>
        <v>4400</v>
      </c>
      <c r="I15" s="5" t="s">
        <v>66</v>
      </c>
      <c r="J15" s="3"/>
      <c r="K15" s="3"/>
      <c r="L15" s="5" t="s">
        <v>97</v>
      </c>
      <c r="M15" s="3"/>
    </row>
    <row r="16" spans="1:13" x14ac:dyDescent="0.3">
      <c r="A16" s="1">
        <v>115</v>
      </c>
      <c r="B16" s="1" t="s">
        <v>21</v>
      </c>
      <c r="C16" s="1" t="s">
        <v>11</v>
      </c>
      <c r="D16" s="1">
        <v>90</v>
      </c>
      <c r="E16" s="1">
        <v>50</v>
      </c>
      <c r="F16">
        <f>(Table2[[#This Row],[Unit Price]]*Table2[[#This Row],[Units Sold]])</f>
        <v>4500</v>
      </c>
      <c r="I16" s="3" t="s">
        <v>67</v>
      </c>
      <c r="J16" s="3">
        <f>MAX(Table2[Unit Price])</f>
        <v>850</v>
      </c>
      <c r="K16" s="3"/>
      <c r="L16" s="3" t="s">
        <v>98</v>
      </c>
      <c r="M16" s="3">
        <f>_xlfn.MAXIFS(Table2[Unit Price],Table2[Category],"Electronics")</f>
        <v>850</v>
      </c>
    </row>
    <row r="17" spans="1:13" x14ac:dyDescent="0.3">
      <c r="A17" s="1">
        <v>116</v>
      </c>
      <c r="B17" s="1" t="s">
        <v>22</v>
      </c>
      <c r="C17" s="1" t="s">
        <v>6</v>
      </c>
      <c r="D17" s="1">
        <v>110</v>
      </c>
      <c r="E17" s="1">
        <v>33</v>
      </c>
      <c r="F17">
        <f>(Table2[[#This Row],[Unit Price]]*Table2[[#This Row],[Units Sold]])</f>
        <v>3630</v>
      </c>
      <c r="I17" s="3" t="s">
        <v>68</v>
      </c>
      <c r="J17" s="3">
        <f>MIN(Table2[Unit Price])</f>
        <v>10</v>
      </c>
      <c r="K17" s="3"/>
      <c r="L17" s="3" t="s">
        <v>99</v>
      </c>
      <c r="M17" s="3">
        <f>_xlfn.MINIFS(Table2[Unit Price],Table2[Units Sold],"&gt;50")</f>
        <v>10</v>
      </c>
    </row>
    <row r="18" spans="1:13" x14ac:dyDescent="0.3">
      <c r="A18" s="1">
        <v>117</v>
      </c>
      <c r="B18" s="1" t="s">
        <v>23</v>
      </c>
      <c r="C18" s="1" t="s">
        <v>6</v>
      </c>
      <c r="D18" s="1">
        <v>60</v>
      </c>
      <c r="E18" s="1">
        <v>18</v>
      </c>
      <c r="F18">
        <f>(Table2[[#This Row],[Unit Price]]*Table2[[#This Row],[Units Sold]])</f>
        <v>1080</v>
      </c>
      <c r="I18" s="3" t="s">
        <v>69</v>
      </c>
      <c r="J18" s="3">
        <f>MAX(Table2[Units Sold])</f>
        <v>300</v>
      </c>
      <c r="K18" s="3"/>
      <c r="L18" s="3" t="s">
        <v>100</v>
      </c>
      <c r="M18" s="3">
        <f>_xlfn.MAXIFS(Table2[Units Sold],Table2[Unit Price],"&lt;100")</f>
        <v>300</v>
      </c>
    </row>
    <row r="19" spans="1:13" x14ac:dyDescent="0.3">
      <c r="A19" s="1">
        <v>118</v>
      </c>
      <c r="B19" s="1" t="s">
        <v>24</v>
      </c>
      <c r="C19" s="1" t="s">
        <v>11</v>
      </c>
      <c r="D19" s="1">
        <v>15</v>
      </c>
      <c r="E19" s="1">
        <v>300</v>
      </c>
      <c r="F19">
        <f>(Table2[[#This Row],[Unit Price]]*Table2[[#This Row],[Units Sold]])</f>
        <v>4500</v>
      </c>
      <c r="I19" s="3" t="s">
        <v>70</v>
      </c>
      <c r="J19" s="3">
        <f>MIN(Table2[Units Sold])</f>
        <v>4</v>
      </c>
      <c r="K19" s="3"/>
      <c r="L19" s="3"/>
      <c r="M19" s="3"/>
    </row>
    <row r="20" spans="1:13" x14ac:dyDescent="0.3">
      <c r="A20" s="1">
        <v>119</v>
      </c>
      <c r="B20" s="1" t="s">
        <v>25</v>
      </c>
      <c r="C20" s="1" t="s">
        <v>11</v>
      </c>
      <c r="D20" s="1">
        <v>40</v>
      </c>
      <c r="E20" s="1">
        <v>120</v>
      </c>
      <c r="F20">
        <f>(Table2[[#This Row],[Unit Price]]*Table2[[#This Row],[Units Sold]])</f>
        <v>4800</v>
      </c>
    </row>
    <row r="21" spans="1:13" x14ac:dyDescent="0.3">
      <c r="A21" s="1">
        <v>120</v>
      </c>
      <c r="B21" s="1" t="s">
        <v>26</v>
      </c>
      <c r="C21" s="1" t="s">
        <v>6</v>
      </c>
      <c r="D21" s="1">
        <v>250</v>
      </c>
      <c r="E21" s="1">
        <v>25</v>
      </c>
      <c r="F21">
        <f>(Table2[[#This Row],[Unit Price]]*Table2[[#This Row],[Units Sold]])</f>
        <v>6250</v>
      </c>
    </row>
    <row r="22" spans="1:13" x14ac:dyDescent="0.3">
      <c r="A22" s="1">
        <v>121</v>
      </c>
      <c r="B22" s="1" t="s">
        <v>27</v>
      </c>
      <c r="C22" s="1" t="s">
        <v>9</v>
      </c>
      <c r="D22" s="1">
        <v>85</v>
      </c>
      <c r="E22" s="1">
        <v>12</v>
      </c>
      <c r="F22">
        <f>(Table2[[#This Row],[Unit Price]]*Table2[[#This Row],[Units Sold]])</f>
        <v>1020</v>
      </c>
    </row>
    <row r="23" spans="1:13" x14ac:dyDescent="0.3">
      <c r="A23" s="1">
        <v>122</v>
      </c>
      <c r="B23" s="1" t="s">
        <v>28</v>
      </c>
      <c r="C23" s="1" t="s">
        <v>9</v>
      </c>
      <c r="D23" s="1">
        <v>600</v>
      </c>
      <c r="E23" s="1">
        <v>8</v>
      </c>
      <c r="F23">
        <f>(Table2[[#This Row],[Unit Price]]*Table2[[#This Row],[Units Sold]])</f>
        <v>4800</v>
      </c>
    </row>
    <row r="24" spans="1:13" x14ac:dyDescent="0.3">
      <c r="A24" s="1">
        <v>123</v>
      </c>
      <c r="B24" s="1" t="s">
        <v>29</v>
      </c>
      <c r="C24" s="1" t="s">
        <v>9</v>
      </c>
      <c r="D24" s="1">
        <v>100</v>
      </c>
      <c r="E24" s="1">
        <v>7</v>
      </c>
      <c r="F24">
        <f>(Table2[[#This Row],[Unit Price]]*Table2[[#This Row],[Units Sold]])</f>
        <v>700</v>
      </c>
    </row>
    <row r="25" spans="1:13" x14ac:dyDescent="0.3">
      <c r="A25" s="1">
        <v>124</v>
      </c>
      <c r="B25" s="1" t="s">
        <v>30</v>
      </c>
      <c r="C25" s="1" t="s">
        <v>9</v>
      </c>
      <c r="D25" s="1">
        <v>120</v>
      </c>
      <c r="E25" s="1">
        <v>10</v>
      </c>
      <c r="F25">
        <f>(Table2[[#This Row],[Unit Price]]*Table2[[#This Row],[Units Sold]])</f>
        <v>1200</v>
      </c>
    </row>
    <row r="26" spans="1:13" x14ac:dyDescent="0.3">
      <c r="A26" s="1">
        <v>125</v>
      </c>
      <c r="B26" s="1" t="s">
        <v>31</v>
      </c>
      <c r="C26" s="1" t="s">
        <v>9</v>
      </c>
      <c r="D26" s="1">
        <v>80</v>
      </c>
      <c r="E26" s="1">
        <v>9</v>
      </c>
      <c r="F26">
        <f>(Table2[[#This Row],[Unit Price]]*Table2[[#This Row],[Units Sold]])</f>
        <v>720</v>
      </c>
    </row>
    <row r="27" spans="1:13" x14ac:dyDescent="0.3">
      <c r="A27" s="1">
        <v>126</v>
      </c>
      <c r="B27" s="1" t="s">
        <v>32</v>
      </c>
      <c r="C27" s="1" t="s">
        <v>9</v>
      </c>
      <c r="D27" s="1">
        <v>350</v>
      </c>
      <c r="E27" s="1">
        <v>5</v>
      </c>
      <c r="F27">
        <f>(Table2[[#This Row],[Unit Price]]*Table2[[#This Row],[Units Sold]])</f>
        <v>1750</v>
      </c>
    </row>
    <row r="28" spans="1:13" x14ac:dyDescent="0.3">
      <c r="A28" s="1">
        <v>127</v>
      </c>
      <c r="B28" s="1" t="s">
        <v>33</v>
      </c>
      <c r="C28" s="1" t="s">
        <v>9</v>
      </c>
      <c r="D28" s="1">
        <v>450</v>
      </c>
      <c r="E28" s="1">
        <v>6</v>
      </c>
      <c r="F28">
        <f>(Table2[[#This Row],[Unit Price]]*Table2[[#This Row],[Units Sold]])</f>
        <v>2700</v>
      </c>
    </row>
    <row r="29" spans="1:13" x14ac:dyDescent="0.3">
      <c r="A29" s="1">
        <v>128</v>
      </c>
      <c r="B29" s="1" t="s">
        <v>34</v>
      </c>
      <c r="C29" s="1" t="s">
        <v>6</v>
      </c>
      <c r="D29" s="1">
        <v>750</v>
      </c>
      <c r="E29" s="1">
        <v>4</v>
      </c>
      <c r="F29">
        <f>(Table2[[#This Row],[Unit Price]]*Table2[[#This Row],[Units Sold]])</f>
        <v>3000</v>
      </c>
    </row>
    <row r="30" spans="1:13" x14ac:dyDescent="0.3">
      <c r="A30" s="1">
        <v>129</v>
      </c>
      <c r="B30" s="1" t="s">
        <v>35</v>
      </c>
      <c r="C30" s="1" t="s">
        <v>6</v>
      </c>
      <c r="D30" s="1">
        <v>200</v>
      </c>
      <c r="E30" s="1">
        <v>14</v>
      </c>
      <c r="F30">
        <f>(Table2[[#This Row],[Unit Price]]*Table2[[#This Row],[Units Sold]])</f>
        <v>2800</v>
      </c>
    </row>
    <row r="31" spans="1:13" x14ac:dyDescent="0.3">
      <c r="A31" s="1">
        <v>130</v>
      </c>
      <c r="B31" s="1" t="s">
        <v>36</v>
      </c>
      <c r="C31" s="1" t="s">
        <v>6</v>
      </c>
      <c r="D31" s="1">
        <v>60</v>
      </c>
      <c r="E31" s="1">
        <v>25</v>
      </c>
      <c r="F31">
        <f>(Table2[[#This Row],[Unit Price]]*Table2[[#This Row],[Units Sold]])</f>
        <v>1500</v>
      </c>
    </row>
    <row r="32" spans="1:13" x14ac:dyDescent="0.3">
      <c r="A32" s="1">
        <v>131</v>
      </c>
      <c r="B32" s="1" t="s">
        <v>37</v>
      </c>
      <c r="C32" s="1" t="s">
        <v>6</v>
      </c>
      <c r="D32" s="1">
        <v>180</v>
      </c>
      <c r="E32" s="1">
        <v>19</v>
      </c>
      <c r="F32">
        <f>(Table2[[#This Row],[Unit Price]]*Table2[[#This Row],[Units Sold]])</f>
        <v>3420</v>
      </c>
    </row>
    <row r="33" spans="1:6" x14ac:dyDescent="0.3">
      <c r="A33" s="1">
        <v>132</v>
      </c>
      <c r="B33" s="1" t="s">
        <v>38</v>
      </c>
      <c r="C33" s="1" t="s">
        <v>6</v>
      </c>
      <c r="D33" s="1">
        <v>30</v>
      </c>
      <c r="E33" s="1">
        <v>28</v>
      </c>
      <c r="F33">
        <f>(Table2[[#This Row],[Unit Price]]*Table2[[#This Row],[Units Sold]])</f>
        <v>840</v>
      </c>
    </row>
    <row r="34" spans="1:6" x14ac:dyDescent="0.3">
      <c r="A34" s="1">
        <v>133</v>
      </c>
      <c r="B34" s="1" t="s">
        <v>39</v>
      </c>
      <c r="C34" s="1" t="s">
        <v>6</v>
      </c>
      <c r="D34" s="1">
        <v>40</v>
      </c>
      <c r="E34" s="1">
        <v>24</v>
      </c>
      <c r="F34">
        <f>(Table2[[#This Row],[Unit Price]]*Table2[[#This Row],[Units Sold]])</f>
        <v>960</v>
      </c>
    </row>
    <row r="35" spans="1:6" x14ac:dyDescent="0.3">
      <c r="A35" s="1">
        <v>134</v>
      </c>
      <c r="B35" s="1" t="s">
        <v>40</v>
      </c>
      <c r="C35" s="1" t="s">
        <v>6</v>
      </c>
      <c r="D35" s="1">
        <v>35</v>
      </c>
      <c r="E35" s="1">
        <v>40</v>
      </c>
      <c r="F35">
        <f>(Table2[[#This Row],[Unit Price]]*Table2[[#This Row],[Units Sold]])</f>
        <v>1400</v>
      </c>
    </row>
    <row r="36" spans="1:6" x14ac:dyDescent="0.3">
      <c r="A36" s="1">
        <v>135</v>
      </c>
      <c r="B36" s="1" t="s">
        <v>41</v>
      </c>
      <c r="C36" s="1" t="s">
        <v>6</v>
      </c>
      <c r="D36" s="1">
        <v>25</v>
      </c>
      <c r="E36" s="1">
        <v>38</v>
      </c>
      <c r="F36">
        <f>(Table2[[#This Row],[Unit Price]]*Table2[[#This Row],[Units Sold]])</f>
        <v>950</v>
      </c>
    </row>
    <row r="37" spans="1:6" x14ac:dyDescent="0.3">
      <c r="A37" s="1">
        <v>136</v>
      </c>
      <c r="B37" s="1" t="s">
        <v>42</v>
      </c>
      <c r="C37" s="1" t="s">
        <v>6</v>
      </c>
      <c r="D37" s="1">
        <v>850</v>
      </c>
      <c r="E37" s="1">
        <v>6</v>
      </c>
      <c r="F37">
        <f>(Table2[[#This Row],[Unit Price]]*Table2[[#This Row],[Units Sold]])</f>
        <v>5100</v>
      </c>
    </row>
    <row r="38" spans="1:6" x14ac:dyDescent="0.3">
      <c r="A38" s="1">
        <v>137</v>
      </c>
      <c r="B38" s="1" t="s">
        <v>43</v>
      </c>
      <c r="C38" s="1" t="s">
        <v>6</v>
      </c>
      <c r="D38" s="1">
        <v>500</v>
      </c>
      <c r="E38" s="1">
        <v>5</v>
      </c>
      <c r="F38">
        <f>(Table2[[#This Row],[Unit Price]]*Table2[[#This Row],[Units Sold]])</f>
        <v>2500</v>
      </c>
    </row>
    <row r="39" spans="1:6" x14ac:dyDescent="0.3">
      <c r="A39" s="1">
        <v>138</v>
      </c>
      <c r="B39" s="1" t="s">
        <v>44</v>
      </c>
      <c r="C39" s="1" t="s">
        <v>6</v>
      </c>
      <c r="D39" s="1">
        <v>600</v>
      </c>
      <c r="E39" s="1">
        <v>7</v>
      </c>
      <c r="F39">
        <f>(Table2[[#This Row],[Unit Price]]*Table2[[#This Row],[Units Sold]])</f>
        <v>4200</v>
      </c>
    </row>
    <row r="40" spans="1:6" x14ac:dyDescent="0.3">
      <c r="A40" s="1">
        <v>139</v>
      </c>
      <c r="B40" s="1" t="s">
        <v>45</v>
      </c>
      <c r="C40" s="1" t="s">
        <v>6</v>
      </c>
      <c r="D40" s="1">
        <v>150</v>
      </c>
      <c r="E40" s="1">
        <v>10</v>
      </c>
      <c r="F40">
        <f>(Table2[[#This Row],[Unit Price]]*Table2[[#This Row],[Units Sold]])</f>
        <v>1500</v>
      </c>
    </row>
    <row r="41" spans="1:6" x14ac:dyDescent="0.3">
      <c r="A41" s="1">
        <v>140</v>
      </c>
      <c r="B41" s="1" t="s">
        <v>46</v>
      </c>
      <c r="C41" s="1" t="s">
        <v>6</v>
      </c>
      <c r="D41" s="1">
        <v>100</v>
      </c>
      <c r="E41" s="1">
        <v>18</v>
      </c>
      <c r="F41">
        <f>(Table2[[#This Row],[Unit Price]]*Table2[[#This Row],[Units Sold]])</f>
        <v>1800</v>
      </c>
    </row>
    <row r="42" spans="1:6" x14ac:dyDescent="0.3">
      <c r="A42" s="1">
        <v>141</v>
      </c>
      <c r="B42" s="1" t="s">
        <v>47</v>
      </c>
      <c r="C42" s="1" t="s">
        <v>6</v>
      </c>
      <c r="D42" s="1">
        <v>400</v>
      </c>
      <c r="E42" s="1">
        <v>12</v>
      </c>
      <c r="F42">
        <f>(Table2[[#This Row],[Unit Price]]*Table2[[#This Row],[Units Sold]])</f>
        <v>4800</v>
      </c>
    </row>
    <row r="43" spans="1:6" x14ac:dyDescent="0.3">
      <c r="A43" s="1">
        <v>142</v>
      </c>
      <c r="B43" s="1" t="s">
        <v>48</v>
      </c>
      <c r="C43" s="1" t="s">
        <v>6</v>
      </c>
      <c r="D43" s="1">
        <v>350</v>
      </c>
      <c r="E43" s="1">
        <v>20</v>
      </c>
      <c r="F43">
        <f>(Table2[[#This Row],[Unit Price]]*Table2[[#This Row],[Units Sold]])</f>
        <v>7000</v>
      </c>
    </row>
    <row r="44" spans="1:6" x14ac:dyDescent="0.3">
      <c r="A44" s="1">
        <v>143</v>
      </c>
      <c r="B44" s="1" t="s">
        <v>49</v>
      </c>
      <c r="C44" s="1" t="s">
        <v>6</v>
      </c>
      <c r="D44" s="1">
        <v>500</v>
      </c>
      <c r="E44" s="1">
        <v>22</v>
      </c>
      <c r="F44">
        <f>(Table2[[#This Row],[Unit Price]]*Table2[[#This Row],[Units Sold]])</f>
        <v>11000</v>
      </c>
    </row>
    <row r="45" spans="1:6" x14ac:dyDescent="0.3">
      <c r="A45" s="1">
        <v>144</v>
      </c>
      <c r="B45" s="1" t="s">
        <v>50</v>
      </c>
      <c r="C45" s="1" t="s">
        <v>6</v>
      </c>
      <c r="D45" s="1">
        <v>120</v>
      </c>
      <c r="E45" s="1">
        <v>30</v>
      </c>
      <c r="F45">
        <f>(Table2[[#This Row],[Unit Price]]*Table2[[#This Row],[Units Sold]])</f>
        <v>3600</v>
      </c>
    </row>
    <row r="46" spans="1:6" x14ac:dyDescent="0.3">
      <c r="A46" s="1">
        <v>145</v>
      </c>
      <c r="B46" s="1" t="s">
        <v>51</v>
      </c>
      <c r="C46" s="1" t="s">
        <v>6</v>
      </c>
      <c r="D46" s="1">
        <v>180</v>
      </c>
      <c r="E46" s="1">
        <v>50</v>
      </c>
      <c r="F46">
        <f>(Table2[[#This Row],[Unit Price]]*Table2[[#This Row],[Units Sold]])</f>
        <v>9000</v>
      </c>
    </row>
    <row r="47" spans="1:6" x14ac:dyDescent="0.3">
      <c r="A47" s="1">
        <v>146</v>
      </c>
      <c r="B47" s="1" t="s">
        <v>52</v>
      </c>
      <c r="C47" s="1" t="s">
        <v>6</v>
      </c>
      <c r="D47" s="1">
        <v>400</v>
      </c>
      <c r="E47" s="1">
        <v>10</v>
      </c>
      <c r="F47">
        <f>(Table2[[#This Row],[Unit Price]]*Table2[[#This Row],[Units Sold]])</f>
        <v>4000</v>
      </c>
    </row>
    <row r="48" spans="1:6" x14ac:dyDescent="0.3">
      <c r="A48" s="1">
        <v>147</v>
      </c>
      <c r="B48" s="1" t="s">
        <v>53</v>
      </c>
      <c r="C48" s="1" t="s">
        <v>6</v>
      </c>
      <c r="D48" s="1">
        <v>35</v>
      </c>
      <c r="E48" s="1">
        <v>60</v>
      </c>
      <c r="F48">
        <f>(Table2[[#This Row],[Unit Price]]*Table2[[#This Row],[Units Sold]])</f>
        <v>2100</v>
      </c>
    </row>
    <row r="49" spans="1:6" x14ac:dyDescent="0.3">
      <c r="A49" s="1">
        <v>148</v>
      </c>
      <c r="B49" s="1" t="s">
        <v>54</v>
      </c>
      <c r="C49" s="1" t="s">
        <v>6</v>
      </c>
      <c r="D49" s="1">
        <v>180</v>
      </c>
      <c r="E49" s="1">
        <v>15</v>
      </c>
      <c r="F49">
        <f>(Table2[[#This Row],[Unit Price]]*Table2[[#This Row],[Units Sold]])</f>
        <v>2700</v>
      </c>
    </row>
    <row r="50" spans="1:6" x14ac:dyDescent="0.3">
      <c r="A50" s="1">
        <v>149</v>
      </c>
      <c r="B50" s="1" t="s">
        <v>55</v>
      </c>
      <c r="C50" s="1" t="s">
        <v>6</v>
      </c>
      <c r="D50" s="1">
        <v>60</v>
      </c>
      <c r="E50" s="1">
        <v>35</v>
      </c>
      <c r="F50">
        <f>(Table2[[#This Row],[Unit Price]]*Table2[[#This Row],[Units Sold]])</f>
        <v>2100</v>
      </c>
    </row>
    <row r="51" spans="1:6" x14ac:dyDescent="0.3">
      <c r="A51" s="1">
        <v>150</v>
      </c>
      <c r="B51" s="1" t="s">
        <v>56</v>
      </c>
      <c r="C51" s="1" t="s">
        <v>6</v>
      </c>
      <c r="D51" s="1">
        <v>300</v>
      </c>
      <c r="E51" s="1">
        <v>10</v>
      </c>
      <c r="F51">
        <f>(Table2[[#This Row],[Unit Price]]*Table2[[#This Row],[Units Sold]])</f>
        <v>3000</v>
      </c>
    </row>
  </sheetData>
  <pageMargins left="0.7" right="0.7" top="0.75" bottom="0.75" header="0.3" footer="0.3"/>
  <ignoredErrors>
    <ignoredError sqref="J13" formulaRange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F926-FA65-4041-B13F-3FCC1E80A5E6}">
  <dimension ref="A1:I51"/>
  <sheetViews>
    <sheetView workbookViewId="0">
      <selection activeCell="N11" sqref="N11"/>
    </sheetView>
  </sheetViews>
  <sheetFormatPr defaultRowHeight="14.4" x14ac:dyDescent="0.3"/>
  <cols>
    <col min="2" max="2" width="17.6640625" bestFit="1" customWidth="1"/>
    <col min="3" max="3" width="13" bestFit="1" customWidth="1"/>
    <col min="4" max="4" width="13.5546875" bestFit="1" customWidth="1"/>
    <col min="6" max="6" width="14.21875" bestFit="1" customWidth="1"/>
    <col min="8" max="8" width="64.88671875" bestFit="1" customWidth="1"/>
    <col min="9" max="9" width="10.44140625" bestFit="1" customWidth="1"/>
  </cols>
  <sheetData>
    <row r="1" spans="1:9" x14ac:dyDescent="0.3">
      <c r="A1" s="2" t="s">
        <v>1</v>
      </c>
      <c r="B1" s="2" t="s">
        <v>2</v>
      </c>
      <c r="C1" s="2" t="s">
        <v>3</v>
      </c>
      <c r="D1" s="2" t="s">
        <v>57</v>
      </c>
      <c r="E1" s="2" t="s">
        <v>4</v>
      </c>
      <c r="F1" s="2" t="s">
        <v>58</v>
      </c>
    </row>
    <row r="2" spans="1:9" x14ac:dyDescent="0.3">
      <c r="A2" s="1">
        <v>101</v>
      </c>
      <c r="B2" s="1" t="s">
        <v>5</v>
      </c>
      <c r="C2" s="1" t="s">
        <v>6</v>
      </c>
      <c r="D2" s="1">
        <v>700</v>
      </c>
      <c r="E2" s="1">
        <v>25</v>
      </c>
      <c r="F2">
        <f>(Table24[[#This Row],[Unit Price]]*Table24[[#This Row],[Units Sold]])</f>
        <v>17500</v>
      </c>
      <c r="H2" s="5" t="s">
        <v>80</v>
      </c>
      <c r="I2" s="6"/>
    </row>
    <row r="3" spans="1:9" x14ac:dyDescent="0.3">
      <c r="A3" s="1">
        <v>102</v>
      </c>
      <c r="B3" s="1" t="s">
        <v>7</v>
      </c>
      <c r="C3" s="1" t="s">
        <v>6</v>
      </c>
      <c r="D3" s="1">
        <v>500</v>
      </c>
      <c r="E3" s="1">
        <v>30</v>
      </c>
      <c r="F3">
        <f>(Table24[[#This Row],[Unit Price]]*Table24[[#This Row],[Units Sold]])</f>
        <v>15000</v>
      </c>
      <c r="H3" s="3" t="s">
        <v>79</v>
      </c>
      <c r="I3" s="3">
        <f>VLOOKUP(110,Table24[[Product ID]:[Units Sold]],4,FALSE)</f>
        <v>120</v>
      </c>
    </row>
    <row r="4" spans="1:9" x14ac:dyDescent="0.3">
      <c r="A4" s="1">
        <v>103</v>
      </c>
      <c r="B4" s="1" t="s">
        <v>8</v>
      </c>
      <c r="C4" s="1" t="s">
        <v>9</v>
      </c>
      <c r="D4" s="1">
        <v>100</v>
      </c>
      <c r="E4" s="1">
        <v>45</v>
      </c>
      <c r="F4">
        <f>(Table24[[#This Row],[Unit Price]]*Table24[[#This Row],[Units Sold]])</f>
        <v>4500</v>
      </c>
      <c r="H4" s="3" t="s">
        <v>81</v>
      </c>
      <c r="I4" s="3">
        <f>VLOOKUP("Smartwatch",Table24[[Product Name]:[Units Sold]],4,FALSE)</f>
        <v>25</v>
      </c>
    </row>
    <row r="5" spans="1:9" x14ac:dyDescent="0.3">
      <c r="A5" s="1">
        <v>104</v>
      </c>
      <c r="B5" s="1" t="s">
        <v>0</v>
      </c>
      <c r="C5" s="1" t="s">
        <v>9</v>
      </c>
      <c r="D5" s="1">
        <v>150</v>
      </c>
      <c r="E5" s="1">
        <v>20</v>
      </c>
      <c r="F5">
        <f>(Table24[[#This Row],[Unit Price]]*Table24[[#This Row],[Units Sold]])</f>
        <v>3000</v>
      </c>
      <c r="H5" s="3" t="s">
        <v>82</v>
      </c>
      <c r="I5" s="3" t="str">
        <f>VLOOKUP(134,Table24[[Product ID]:[Units Sold]],2,FALSE)</f>
        <v>Iron</v>
      </c>
    </row>
    <row r="6" spans="1:9" x14ac:dyDescent="0.3">
      <c r="A6" s="1">
        <v>105</v>
      </c>
      <c r="B6" s="1" t="s">
        <v>10</v>
      </c>
      <c r="C6" s="1" t="s">
        <v>11</v>
      </c>
      <c r="D6" s="1">
        <v>20</v>
      </c>
      <c r="E6" s="1">
        <v>100</v>
      </c>
      <c r="F6">
        <f>(Table24[[#This Row],[Unit Price]]*Table24[[#This Row],[Units Sold]])</f>
        <v>2000</v>
      </c>
      <c r="H6" s="3" t="s">
        <v>83</v>
      </c>
      <c r="I6" s="3" t="str">
        <f>VLOOKUP(145,Table24[[Product ID]:[Units Sold]],3,FALSE)</f>
        <v>Electronics</v>
      </c>
    </row>
    <row r="7" spans="1:9" x14ac:dyDescent="0.3">
      <c r="A7" s="1">
        <v>106</v>
      </c>
      <c r="B7" s="1" t="s">
        <v>12</v>
      </c>
      <c r="C7" s="1" t="s">
        <v>11</v>
      </c>
      <c r="D7" s="1">
        <v>25</v>
      </c>
      <c r="E7" s="1">
        <v>80</v>
      </c>
      <c r="F7">
        <f>(Table24[[#This Row],[Unit Price]]*Table24[[#This Row],[Units Sold]])</f>
        <v>2000</v>
      </c>
      <c r="H7" s="3" t="s">
        <v>84</v>
      </c>
      <c r="I7" s="3">
        <f>VLOOKUP("Electric Scooter",Table24[[Product Name]:[Units Sold]],3,FALSE)</f>
        <v>400</v>
      </c>
    </row>
    <row r="8" spans="1:9" x14ac:dyDescent="0.3">
      <c r="A8" s="1">
        <v>107</v>
      </c>
      <c r="B8" s="1" t="s">
        <v>13</v>
      </c>
      <c r="C8" s="1" t="s">
        <v>6</v>
      </c>
      <c r="D8" s="1">
        <v>250</v>
      </c>
      <c r="E8" s="1">
        <v>15</v>
      </c>
      <c r="F8">
        <f>(Table24[[#This Row],[Unit Price]]*Table24[[#This Row],[Units Sold]])</f>
        <v>3750</v>
      </c>
      <c r="H8" s="3" t="s">
        <v>101</v>
      </c>
      <c r="I8" s="3">
        <f>VLOOKUP(MIN(D2:D51),D2:E51,2,FALSE)</f>
        <v>200</v>
      </c>
    </row>
    <row r="9" spans="1:9" x14ac:dyDescent="0.3">
      <c r="A9" s="1">
        <v>108</v>
      </c>
      <c r="B9" s="1" t="s">
        <v>14</v>
      </c>
      <c r="C9" s="1" t="s">
        <v>6</v>
      </c>
      <c r="D9" s="1">
        <v>300</v>
      </c>
      <c r="E9" s="1">
        <v>22</v>
      </c>
      <c r="F9">
        <f>(Table24[[#This Row],[Unit Price]]*Table24[[#This Row],[Units Sold]])</f>
        <v>6600</v>
      </c>
      <c r="H9" s="3" t="s">
        <v>102</v>
      </c>
      <c r="I9" s="3">
        <f>VLOOKUP(MAX(E2:E51),E2:E51,1,FALSE)</f>
        <v>300</v>
      </c>
    </row>
    <row r="10" spans="1:9" x14ac:dyDescent="0.3">
      <c r="A10" s="1">
        <v>109</v>
      </c>
      <c r="B10" s="1" t="s">
        <v>15</v>
      </c>
      <c r="C10" s="1" t="s">
        <v>6</v>
      </c>
      <c r="D10" s="1">
        <v>180</v>
      </c>
      <c r="E10" s="1">
        <v>10</v>
      </c>
      <c r="F10">
        <f>(Table24[[#This Row],[Unit Price]]*Table24[[#This Row],[Units Sold]])</f>
        <v>1800</v>
      </c>
      <c r="H10" s="3" t="s">
        <v>85</v>
      </c>
      <c r="I10" s="3" t="str">
        <f>IF(ISNA(VLOOKUP(130,Table24[Product ID],1,FALSE)),"Not Found","Exists")</f>
        <v>Exists</v>
      </c>
    </row>
    <row r="11" spans="1:9" x14ac:dyDescent="0.3">
      <c r="A11" s="1">
        <v>110</v>
      </c>
      <c r="B11" s="1" t="s">
        <v>16</v>
      </c>
      <c r="C11" s="1" t="s">
        <v>6</v>
      </c>
      <c r="D11" s="1">
        <v>120</v>
      </c>
      <c r="E11" s="1">
        <v>40</v>
      </c>
      <c r="F11">
        <f>(Table24[[#This Row],[Unit Price]]*Table24[[#This Row],[Units Sold]])</f>
        <v>4800</v>
      </c>
      <c r="H11" s="3"/>
      <c r="I11" s="3"/>
    </row>
    <row r="12" spans="1:9" x14ac:dyDescent="0.3">
      <c r="A12" s="1">
        <v>111</v>
      </c>
      <c r="B12" s="1" t="s">
        <v>17</v>
      </c>
      <c r="C12" s="1" t="s">
        <v>11</v>
      </c>
      <c r="D12" s="1">
        <v>10</v>
      </c>
      <c r="E12" s="1">
        <v>200</v>
      </c>
      <c r="F12">
        <f>(Table24[[#This Row],[Unit Price]]*Table24[[#This Row],[Units Sold]])</f>
        <v>2000</v>
      </c>
      <c r="H12" s="3"/>
      <c r="I12" s="3"/>
    </row>
    <row r="13" spans="1:9" x14ac:dyDescent="0.3">
      <c r="A13" s="1">
        <v>112</v>
      </c>
      <c r="B13" s="1" t="s">
        <v>18</v>
      </c>
      <c r="C13" s="1" t="s">
        <v>6</v>
      </c>
      <c r="D13" s="1">
        <v>35</v>
      </c>
      <c r="E13" s="1">
        <v>75</v>
      </c>
      <c r="F13">
        <f>(Table24[[#This Row],[Unit Price]]*Table24[[#This Row],[Units Sold]])</f>
        <v>2625</v>
      </c>
      <c r="H13" s="5" t="s">
        <v>86</v>
      </c>
      <c r="I13" s="6"/>
    </row>
    <row r="14" spans="1:9" x14ac:dyDescent="0.3">
      <c r="A14" s="1">
        <v>113</v>
      </c>
      <c r="B14" s="1" t="s">
        <v>19</v>
      </c>
      <c r="C14" s="1" t="s">
        <v>9</v>
      </c>
      <c r="D14" s="1">
        <v>45</v>
      </c>
      <c r="E14" s="1">
        <v>60</v>
      </c>
      <c r="F14">
        <f>(Table24[[#This Row],[Unit Price]]*Table24[[#This Row],[Units Sold]])</f>
        <v>2700</v>
      </c>
      <c r="H14" s="3" t="s">
        <v>87</v>
      </c>
      <c r="I14" s="3">
        <f>HLOOKUP("Units Sold",Table24[[#All],[Product ID]:[Units Sold]],11,FALSE)</f>
        <v>40</v>
      </c>
    </row>
    <row r="15" spans="1:9" x14ac:dyDescent="0.3">
      <c r="A15" s="1">
        <v>114</v>
      </c>
      <c r="B15" s="1" t="s">
        <v>20</v>
      </c>
      <c r="C15" s="1" t="s">
        <v>11</v>
      </c>
      <c r="D15" s="1">
        <v>80</v>
      </c>
      <c r="E15" s="1">
        <v>55</v>
      </c>
      <c r="F15">
        <f>(Table24[[#This Row],[Unit Price]]*Table24[[#This Row],[Units Sold]])</f>
        <v>4400</v>
      </c>
      <c r="H15" s="3" t="s">
        <v>88</v>
      </c>
      <c r="I15" s="3">
        <f>HLOOKUP("Unit Price",Table24[[#All],[Product ID]:[Units Sold]],21,FALSE)</f>
        <v>250</v>
      </c>
    </row>
    <row r="16" spans="1:9" x14ac:dyDescent="0.3">
      <c r="A16" s="1">
        <v>115</v>
      </c>
      <c r="B16" s="1" t="s">
        <v>21</v>
      </c>
      <c r="C16" s="1" t="s">
        <v>11</v>
      </c>
      <c r="D16" s="1">
        <v>90</v>
      </c>
      <c r="E16" s="1">
        <v>50</v>
      </c>
      <c r="F16">
        <f>(Table24[[#This Row],[Unit Price]]*Table24[[#This Row],[Units Sold]])</f>
        <v>4500</v>
      </c>
      <c r="H16" s="3" t="s">
        <v>89</v>
      </c>
      <c r="I16" s="3" t="str">
        <f>HLOOKUP("Product Name",Table24[[#All],[Product ID]:[Units Sold]],31,FALSE)</f>
        <v>Blender</v>
      </c>
    </row>
    <row r="17" spans="1:9" x14ac:dyDescent="0.3">
      <c r="A17" s="1">
        <v>116</v>
      </c>
      <c r="B17" s="1" t="s">
        <v>22</v>
      </c>
      <c r="C17" s="1" t="s">
        <v>6</v>
      </c>
      <c r="D17" s="1">
        <v>110</v>
      </c>
      <c r="E17" s="1">
        <v>33</v>
      </c>
      <c r="F17">
        <f>(Table24[[#This Row],[Unit Price]]*Table24[[#This Row],[Units Sold]])</f>
        <v>3630</v>
      </c>
      <c r="H17" s="3" t="s">
        <v>90</v>
      </c>
      <c r="I17" s="3" t="str">
        <f>HLOOKUP("Category",Table24[[#All],[Product ID]:[Units Sold]],36,FALSE)</f>
        <v>Electronics</v>
      </c>
    </row>
    <row r="18" spans="1:9" x14ac:dyDescent="0.3">
      <c r="A18" s="1">
        <v>117</v>
      </c>
      <c r="B18" s="1" t="s">
        <v>23</v>
      </c>
      <c r="C18" s="1" t="s">
        <v>6</v>
      </c>
      <c r="D18" s="1">
        <v>60</v>
      </c>
      <c r="E18" s="1">
        <v>18</v>
      </c>
      <c r="F18">
        <f>(Table24[[#This Row],[Unit Price]]*Table24[[#This Row],[Units Sold]])</f>
        <v>1080</v>
      </c>
      <c r="H18" s="3" t="s">
        <v>91</v>
      </c>
      <c r="I18" s="3">
        <f>HLOOKUP("Product ID",Table24[[#All],[Product ID]:[Units Sold]],16,FALSE)</f>
        <v>115</v>
      </c>
    </row>
    <row r="19" spans="1:9" x14ac:dyDescent="0.3">
      <c r="A19" s="1">
        <v>118</v>
      </c>
      <c r="B19" s="1" t="s">
        <v>24</v>
      </c>
      <c r="C19" s="1" t="s">
        <v>11</v>
      </c>
      <c r="D19" s="1">
        <v>15</v>
      </c>
      <c r="E19" s="1">
        <v>300</v>
      </c>
      <c r="F19">
        <f>(Table24[[#This Row],[Unit Price]]*Table24[[#This Row],[Units Sold]])</f>
        <v>4500</v>
      </c>
      <c r="H19" s="3" t="s">
        <v>92</v>
      </c>
      <c r="I19" s="3" t="str">
        <f>HLOOKUP("Product Name",A1:E51,MATCH(MAX(E2:E51),E2:E51,0) + 1,FALSE)</f>
        <v>Phone Case</v>
      </c>
    </row>
    <row r="20" spans="1:9" x14ac:dyDescent="0.3">
      <c r="A20" s="1">
        <v>119</v>
      </c>
      <c r="B20" s="1" t="s">
        <v>25</v>
      </c>
      <c r="C20" s="1" t="s">
        <v>11</v>
      </c>
      <c r="D20" s="1">
        <v>40</v>
      </c>
      <c r="E20" s="1">
        <v>120</v>
      </c>
      <c r="F20">
        <f>(Table24[[#This Row],[Unit Price]]*Table24[[#This Row],[Units Sold]])</f>
        <v>4800</v>
      </c>
      <c r="H20" s="3" t="s">
        <v>93</v>
      </c>
      <c r="I20" s="3">
        <f>HLOOKUP("Unit Price",A1:E51,MATCH(LARGE(E2:E51,3),E2:E51,0) + 1,FALSE)</f>
        <v>40</v>
      </c>
    </row>
    <row r="21" spans="1:9" x14ac:dyDescent="0.3">
      <c r="A21" s="1">
        <v>120</v>
      </c>
      <c r="B21" s="1" t="s">
        <v>26</v>
      </c>
      <c r="C21" s="1" t="s">
        <v>6</v>
      </c>
      <c r="D21" s="1">
        <v>250</v>
      </c>
      <c r="E21" s="1">
        <v>25</v>
      </c>
      <c r="F21">
        <f>(Table24[[#This Row],[Unit Price]]*Table24[[#This Row],[Units Sold]])</f>
        <v>6250</v>
      </c>
      <c r="H21" s="3" t="s">
        <v>94</v>
      </c>
      <c r="I21" s="3" t="str">
        <f>IF(MIN(D2:D51) &lt; 30, HLOOKUP("Product Name",A1:E51,MATCH(MIN(D2:D51),D2:D51,0) + 1,FALSE),"No Product Found")</f>
        <v>USB Cable</v>
      </c>
    </row>
    <row r="22" spans="1:9" x14ac:dyDescent="0.3">
      <c r="A22" s="1">
        <v>121</v>
      </c>
      <c r="B22" s="1" t="s">
        <v>27</v>
      </c>
      <c r="C22" s="1" t="s">
        <v>9</v>
      </c>
      <c r="D22" s="1">
        <v>85</v>
      </c>
      <c r="E22" s="1">
        <v>12</v>
      </c>
      <c r="F22">
        <f>(Table24[[#This Row],[Unit Price]]*Table24[[#This Row],[Units Sold]])</f>
        <v>1020</v>
      </c>
    </row>
    <row r="23" spans="1:9" x14ac:dyDescent="0.3">
      <c r="A23" s="1">
        <v>122</v>
      </c>
      <c r="B23" s="1" t="s">
        <v>28</v>
      </c>
      <c r="C23" s="1" t="s">
        <v>9</v>
      </c>
      <c r="D23" s="1">
        <v>600</v>
      </c>
      <c r="E23" s="1">
        <v>8</v>
      </c>
      <c r="F23">
        <f>(Table24[[#This Row],[Unit Price]]*Table24[[#This Row],[Units Sold]])</f>
        <v>4800</v>
      </c>
    </row>
    <row r="24" spans="1:9" x14ac:dyDescent="0.3">
      <c r="A24" s="1">
        <v>123</v>
      </c>
      <c r="B24" s="1" t="s">
        <v>29</v>
      </c>
      <c r="C24" s="1" t="s">
        <v>9</v>
      </c>
      <c r="D24" s="1">
        <v>100</v>
      </c>
      <c r="E24" s="1">
        <v>7</v>
      </c>
      <c r="F24">
        <f>(Table24[[#This Row],[Unit Price]]*Table24[[#This Row],[Units Sold]])</f>
        <v>700</v>
      </c>
    </row>
    <row r="25" spans="1:9" x14ac:dyDescent="0.3">
      <c r="A25" s="1">
        <v>124</v>
      </c>
      <c r="B25" s="1" t="s">
        <v>30</v>
      </c>
      <c r="C25" s="1" t="s">
        <v>9</v>
      </c>
      <c r="D25" s="1">
        <v>120</v>
      </c>
      <c r="E25" s="1">
        <v>10</v>
      </c>
      <c r="F25">
        <f>(Table24[[#This Row],[Unit Price]]*Table24[[#This Row],[Units Sold]])</f>
        <v>1200</v>
      </c>
    </row>
    <row r="26" spans="1:9" x14ac:dyDescent="0.3">
      <c r="A26" s="1">
        <v>125</v>
      </c>
      <c r="B26" s="1" t="s">
        <v>31</v>
      </c>
      <c r="C26" s="1" t="s">
        <v>9</v>
      </c>
      <c r="D26" s="1">
        <v>80</v>
      </c>
      <c r="E26" s="1">
        <v>9</v>
      </c>
      <c r="F26">
        <f>(Table24[[#This Row],[Unit Price]]*Table24[[#This Row],[Units Sold]])</f>
        <v>720</v>
      </c>
    </row>
    <row r="27" spans="1:9" x14ac:dyDescent="0.3">
      <c r="A27" s="1">
        <v>126</v>
      </c>
      <c r="B27" s="1" t="s">
        <v>32</v>
      </c>
      <c r="C27" s="1" t="s">
        <v>9</v>
      </c>
      <c r="D27" s="1">
        <v>350</v>
      </c>
      <c r="E27" s="1">
        <v>5</v>
      </c>
      <c r="F27">
        <f>(Table24[[#This Row],[Unit Price]]*Table24[[#This Row],[Units Sold]])</f>
        <v>1750</v>
      </c>
    </row>
    <row r="28" spans="1:9" x14ac:dyDescent="0.3">
      <c r="A28" s="1">
        <v>127</v>
      </c>
      <c r="B28" s="1" t="s">
        <v>33</v>
      </c>
      <c r="C28" s="1" t="s">
        <v>9</v>
      </c>
      <c r="D28" s="1">
        <v>450</v>
      </c>
      <c r="E28" s="1">
        <v>6</v>
      </c>
      <c r="F28">
        <f>(Table24[[#This Row],[Unit Price]]*Table24[[#This Row],[Units Sold]])</f>
        <v>2700</v>
      </c>
    </row>
    <row r="29" spans="1:9" x14ac:dyDescent="0.3">
      <c r="A29" s="1">
        <v>128</v>
      </c>
      <c r="B29" s="1" t="s">
        <v>34</v>
      </c>
      <c r="C29" s="1" t="s">
        <v>6</v>
      </c>
      <c r="D29" s="1">
        <v>750</v>
      </c>
      <c r="E29" s="1">
        <v>4</v>
      </c>
      <c r="F29">
        <f>(Table24[[#This Row],[Unit Price]]*Table24[[#This Row],[Units Sold]])</f>
        <v>3000</v>
      </c>
    </row>
    <row r="30" spans="1:9" x14ac:dyDescent="0.3">
      <c r="A30" s="1">
        <v>129</v>
      </c>
      <c r="B30" s="1" t="s">
        <v>35</v>
      </c>
      <c r="C30" s="1" t="s">
        <v>6</v>
      </c>
      <c r="D30" s="1">
        <v>200</v>
      </c>
      <c r="E30" s="1">
        <v>14</v>
      </c>
      <c r="F30">
        <f>(Table24[[#This Row],[Unit Price]]*Table24[[#This Row],[Units Sold]])</f>
        <v>2800</v>
      </c>
    </row>
    <row r="31" spans="1:9" x14ac:dyDescent="0.3">
      <c r="A31" s="1">
        <v>130</v>
      </c>
      <c r="B31" s="1" t="s">
        <v>36</v>
      </c>
      <c r="C31" s="1" t="s">
        <v>6</v>
      </c>
      <c r="D31" s="1">
        <v>60</v>
      </c>
      <c r="E31" s="1">
        <v>25</v>
      </c>
      <c r="F31">
        <f>(Table24[[#This Row],[Unit Price]]*Table24[[#This Row],[Units Sold]])</f>
        <v>1500</v>
      </c>
    </row>
    <row r="32" spans="1:9" x14ac:dyDescent="0.3">
      <c r="A32" s="1">
        <v>131</v>
      </c>
      <c r="B32" s="1" t="s">
        <v>37</v>
      </c>
      <c r="C32" s="1" t="s">
        <v>6</v>
      </c>
      <c r="D32" s="1">
        <v>180</v>
      </c>
      <c r="E32" s="1">
        <v>19</v>
      </c>
      <c r="F32">
        <f>(Table24[[#This Row],[Unit Price]]*Table24[[#This Row],[Units Sold]])</f>
        <v>3420</v>
      </c>
    </row>
    <row r="33" spans="1:6" x14ac:dyDescent="0.3">
      <c r="A33" s="1">
        <v>132</v>
      </c>
      <c r="B33" s="1" t="s">
        <v>38</v>
      </c>
      <c r="C33" s="1" t="s">
        <v>6</v>
      </c>
      <c r="D33" s="1">
        <v>30</v>
      </c>
      <c r="E33" s="1">
        <v>28</v>
      </c>
      <c r="F33">
        <f>(Table24[[#This Row],[Unit Price]]*Table24[[#This Row],[Units Sold]])</f>
        <v>840</v>
      </c>
    </row>
    <row r="34" spans="1:6" x14ac:dyDescent="0.3">
      <c r="A34" s="1">
        <v>133</v>
      </c>
      <c r="B34" s="1" t="s">
        <v>39</v>
      </c>
      <c r="C34" s="1" t="s">
        <v>6</v>
      </c>
      <c r="D34" s="1">
        <v>40</v>
      </c>
      <c r="E34" s="1">
        <v>24</v>
      </c>
      <c r="F34">
        <f>(Table24[[#This Row],[Unit Price]]*Table24[[#This Row],[Units Sold]])</f>
        <v>960</v>
      </c>
    </row>
    <row r="35" spans="1:6" x14ac:dyDescent="0.3">
      <c r="A35" s="1">
        <v>134</v>
      </c>
      <c r="B35" s="1" t="s">
        <v>40</v>
      </c>
      <c r="C35" s="1" t="s">
        <v>6</v>
      </c>
      <c r="D35" s="1">
        <v>35</v>
      </c>
      <c r="E35" s="1">
        <v>40</v>
      </c>
      <c r="F35">
        <f>(Table24[[#This Row],[Unit Price]]*Table24[[#This Row],[Units Sold]])</f>
        <v>1400</v>
      </c>
    </row>
    <row r="36" spans="1:6" x14ac:dyDescent="0.3">
      <c r="A36" s="1">
        <v>135</v>
      </c>
      <c r="B36" s="1" t="s">
        <v>41</v>
      </c>
      <c r="C36" s="1" t="s">
        <v>6</v>
      </c>
      <c r="D36" s="1">
        <v>25</v>
      </c>
      <c r="E36" s="1">
        <v>38</v>
      </c>
      <c r="F36">
        <f>(Table24[[#This Row],[Unit Price]]*Table24[[#This Row],[Units Sold]])</f>
        <v>950</v>
      </c>
    </row>
    <row r="37" spans="1:6" x14ac:dyDescent="0.3">
      <c r="A37" s="1">
        <v>136</v>
      </c>
      <c r="B37" s="1" t="s">
        <v>42</v>
      </c>
      <c r="C37" s="1" t="s">
        <v>6</v>
      </c>
      <c r="D37" s="1">
        <v>850</v>
      </c>
      <c r="E37" s="1">
        <v>6</v>
      </c>
      <c r="F37">
        <f>(Table24[[#This Row],[Unit Price]]*Table24[[#This Row],[Units Sold]])</f>
        <v>5100</v>
      </c>
    </row>
    <row r="38" spans="1:6" x14ac:dyDescent="0.3">
      <c r="A38" s="1">
        <v>137</v>
      </c>
      <c r="B38" s="1" t="s">
        <v>43</v>
      </c>
      <c r="C38" s="1" t="s">
        <v>6</v>
      </c>
      <c r="D38" s="1">
        <v>500</v>
      </c>
      <c r="E38" s="1">
        <v>5</v>
      </c>
      <c r="F38">
        <f>(Table24[[#This Row],[Unit Price]]*Table24[[#This Row],[Units Sold]])</f>
        <v>2500</v>
      </c>
    </row>
    <row r="39" spans="1:6" x14ac:dyDescent="0.3">
      <c r="A39" s="1">
        <v>138</v>
      </c>
      <c r="B39" s="1" t="s">
        <v>44</v>
      </c>
      <c r="C39" s="1" t="s">
        <v>6</v>
      </c>
      <c r="D39" s="1">
        <v>600</v>
      </c>
      <c r="E39" s="1">
        <v>7</v>
      </c>
      <c r="F39">
        <f>(Table24[[#This Row],[Unit Price]]*Table24[[#This Row],[Units Sold]])</f>
        <v>4200</v>
      </c>
    </row>
    <row r="40" spans="1:6" x14ac:dyDescent="0.3">
      <c r="A40" s="1">
        <v>139</v>
      </c>
      <c r="B40" s="1" t="s">
        <v>45</v>
      </c>
      <c r="C40" s="1" t="s">
        <v>6</v>
      </c>
      <c r="D40" s="1">
        <v>150</v>
      </c>
      <c r="E40" s="1">
        <v>10</v>
      </c>
      <c r="F40">
        <f>(Table24[[#This Row],[Unit Price]]*Table24[[#This Row],[Units Sold]])</f>
        <v>1500</v>
      </c>
    </row>
    <row r="41" spans="1:6" x14ac:dyDescent="0.3">
      <c r="A41" s="1">
        <v>140</v>
      </c>
      <c r="B41" s="1" t="s">
        <v>46</v>
      </c>
      <c r="C41" s="1" t="s">
        <v>6</v>
      </c>
      <c r="D41" s="1">
        <v>100</v>
      </c>
      <c r="E41" s="1">
        <v>18</v>
      </c>
      <c r="F41">
        <f>(Table24[[#This Row],[Unit Price]]*Table24[[#This Row],[Units Sold]])</f>
        <v>1800</v>
      </c>
    </row>
    <row r="42" spans="1:6" x14ac:dyDescent="0.3">
      <c r="A42" s="1">
        <v>141</v>
      </c>
      <c r="B42" s="1" t="s">
        <v>47</v>
      </c>
      <c r="C42" s="1" t="s">
        <v>6</v>
      </c>
      <c r="D42" s="1">
        <v>400</v>
      </c>
      <c r="E42" s="1">
        <v>12</v>
      </c>
      <c r="F42">
        <f>(Table24[[#This Row],[Unit Price]]*Table24[[#This Row],[Units Sold]])</f>
        <v>4800</v>
      </c>
    </row>
    <row r="43" spans="1:6" x14ac:dyDescent="0.3">
      <c r="A43" s="1">
        <v>142</v>
      </c>
      <c r="B43" s="1" t="s">
        <v>48</v>
      </c>
      <c r="C43" s="1" t="s">
        <v>6</v>
      </c>
      <c r="D43" s="1">
        <v>350</v>
      </c>
      <c r="E43" s="1">
        <v>20</v>
      </c>
      <c r="F43">
        <f>(Table24[[#This Row],[Unit Price]]*Table24[[#This Row],[Units Sold]])</f>
        <v>7000</v>
      </c>
    </row>
    <row r="44" spans="1:6" x14ac:dyDescent="0.3">
      <c r="A44" s="1">
        <v>143</v>
      </c>
      <c r="B44" s="1" t="s">
        <v>49</v>
      </c>
      <c r="C44" s="1" t="s">
        <v>6</v>
      </c>
      <c r="D44" s="1">
        <v>500</v>
      </c>
      <c r="E44" s="1">
        <v>22</v>
      </c>
      <c r="F44">
        <f>(Table24[[#This Row],[Unit Price]]*Table24[[#This Row],[Units Sold]])</f>
        <v>11000</v>
      </c>
    </row>
    <row r="45" spans="1:6" x14ac:dyDescent="0.3">
      <c r="A45" s="1">
        <v>144</v>
      </c>
      <c r="B45" s="1" t="s">
        <v>50</v>
      </c>
      <c r="C45" s="1" t="s">
        <v>6</v>
      </c>
      <c r="D45" s="1">
        <v>120</v>
      </c>
      <c r="E45" s="1">
        <v>30</v>
      </c>
      <c r="F45">
        <f>(Table24[[#This Row],[Unit Price]]*Table24[[#This Row],[Units Sold]])</f>
        <v>3600</v>
      </c>
    </row>
    <row r="46" spans="1:6" x14ac:dyDescent="0.3">
      <c r="A46" s="1">
        <v>145</v>
      </c>
      <c r="B46" s="1" t="s">
        <v>51</v>
      </c>
      <c r="C46" s="1" t="s">
        <v>6</v>
      </c>
      <c r="D46" s="1">
        <v>180</v>
      </c>
      <c r="E46" s="1">
        <v>50</v>
      </c>
      <c r="F46">
        <f>(Table24[[#This Row],[Unit Price]]*Table24[[#This Row],[Units Sold]])</f>
        <v>9000</v>
      </c>
    </row>
    <row r="47" spans="1:6" x14ac:dyDescent="0.3">
      <c r="A47" s="1">
        <v>146</v>
      </c>
      <c r="B47" s="1" t="s">
        <v>52</v>
      </c>
      <c r="C47" s="1" t="s">
        <v>6</v>
      </c>
      <c r="D47" s="1">
        <v>400</v>
      </c>
      <c r="E47" s="1">
        <v>10</v>
      </c>
      <c r="F47">
        <f>(Table24[[#This Row],[Unit Price]]*Table24[[#This Row],[Units Sold]])</f>
        <v>4000</v>
      </c>
    </row>
    <row r="48" spans="1:6" x14ac:dyDescent="0.3">
      <c r="A48" s="1">
        <v>147</v>
      </c>
      <c r="B48" s="1" t="s">
        <v>53</v>
      </c>
      <c r="C48" s="1" t="s">
        <v>6</v>
      </c>
      <c r="D48" s="1">
        <v>35</v>
      </c>
      <c r="E48" s="1">
        <v>60</v>
      </c>
      <c r="F48">
        <f>(Table24[[#This Row],[Unit Price]]*Table24[[#This Row],[Units Sold]])</f>
        <v>2100</v>
      </c>
    </row>
    <row r="49" spans="1:6" x14ac:dyDescent="0.3">
      <c r="A49" s="1">
        <v>148</v>
      </c>
      <c r="B49" s="1" t="s">
        <v>54</v>
      </c>
      <c r="C49" s="1" t="s">
        <v>6</v>
      </c>
      <c r="D49" s="1">
        <v>180</v>
      </c>
      <c r="E49" s="1">
        <v>15</v>
      </c>
      <c r="F49">
        <f>(Table24[[#This Row],[Unit Price]]*Table24[[#This Row],[Units Sold]])</f>
        <v>2700</v>
      </c>
    </row>
    <row r="50" spans="1:6" x14ac:dyDescent="0.3">
      <c r="A50" s="1">
        <v>149</v>
      </c>
      <c r="B50" s="1" t="s">
        <v>55</v>
      </c>
      <c r="C50" s="1" t="s">
        <v>6</v>
      </c>
      <c r="D50" s="1">
        <v>60</v>
      </c>
      <c r="E50" s="1">
        <v>35</v>
      </c>
      <c r="F50">
        <f>(Table24[[#This Row],[Unit Price]]*Table24[[#This Row],[Units Sold]])</f>
        <v>2100</v>
      </c>
    </row>
    <row r="51" spans="1:6" x14ac:dyDescent="0.3">
      <c r="A51" s="1">
        <v>150</v>
      </c>
      <c r="B51" s="1" t="s">
        <v>56</v>
      </c>
      <c r="C51" s="1" t="s">
        <v>6</v>
      </c>
      <c r="D51" s="1">
        <v>300</v>
      </c>
      <c r="E51" s="1">
        <v>10</v>
      </c>
      <c r="F51">
        <f>(Table24[[#This Row],[Unit Price]]*Table24[[#This Row],[Units Sold]])</f>
        <v>3000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Basic Functions</vt:lpstr>
      <vt:lpstr>VLOOKUP &amp; 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Shajahan</dc:creator>
  <cp:lastModifiedBy>Nabil Shajahan</cp:lastModifiedBy>
  <dcterms:created xsi:type="dcterms:W3CDTF">2015-06-05T18:17:20Z</dcterms:created>
  <dcterms:modified xsi:type="dcterms:W3CDTF">2024-09-27T14:53:32Z</dcterms:modified>
</cp:coreProperties>
</file>